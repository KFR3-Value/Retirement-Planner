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lectrolux-my.sharepoint.com/personal/markus_frey_electrolux_com/Documents/Dokumente/02_PRIVAT/Finanzplanung  Pensionierung_AHV/"/>
    </mc:Choice>
  </mc:AlternateContent>
  <xr:revisionPtr revIDLastSave="0" documentId="8_{56496644-E84B-4046-A3A7-93CA9D3E0F6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lat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9" i="1" l="1"/>
  <c r="B43" i="1"/>
  <c r="C9" i="1"/>
  <c r="C10" i="1"/>
  <c r="C69" i="1"/>
  <c r="C15" i="1"/>
  <c r="C16" i="1"/>
  <c r="C17" i="1"/>
  <c r="C18" i="1"/>
  <c r="C21" i="1"/>
  <c r="C23" i="1"/>
  <c r="C25" i="1"/>
  <c r="C28" i="1"/>
  <c r="C29" i="1"/>
  <c r="C30" i="1"/>
  <c r="C31" i="1"/>
  <c r="C32" i="1"/>
  <c r="C40" i="1"/>
  <c r="C43" i="1"/>
  <c r="C41" i="1"/>
  <c r="C42" i="1"/>
  <c r="C46" i="1"/>
  <c r="C47" i="1"/>
  <c r="C48" i="1"/>
  <c r="C51" i="1"/>
  <c r="C52" i="1"/>
  <c r="C53" i="1"/>
  <c r="C54" i="1"/>
  <c r="C55" i="1"/>
  <c r="C56" i="1"/>
  <c r="C60" i="1"/>
  <c r="C61" i="1"/>
  <c r="C62" i="1"/>
  <c r="C63" i="1"/>
  <c r="B69" i="1"/>
  <c r="B33" i="1"/>
  <c r="B48" i="1"/>
  <c r="B57" i="1"/>
  <c r="B63" i="1"/>
  <c r="C57" i="1"/>
  <c r="C65" i="1"/>
  <c r="C71" i="1"/>
  <c r="B65" i="1"/>
  <c r="B71" i="1"/>
  <c r="C33" i="1"/>
  <c r="B35" i="1"/>
  <c r="B70" i="1"/>
  <c r="C19" i="1"/>
  <c r="C35" i="1"/>
  <c r="C70" i="1"/>
  <c r="B72" i="1"/>
  <c r="C72" i="1"/>
</calcChain>
</file>

<file path=xl/sharedStrings.xml><?xml version="1.0" encoding="utf-8"?>
<sst xmlns="http://schemas.openxmlformats.org/spreadsheetml/2006/main" count="56" uniqueCount="56">
  <si>
    <t>Mein Budget</t>
  </si>
  <si>
    <t>Einkünfte</t>
  </si>
  <si>
    <t>Nettoeinkommen Mann</t>
  </si>
  <si>
    <t>Nettoeinkommen Frau</t>
  </si>
  <si>
    <t>Sonstige Einkünfte (Vermögenserträge, Alimente etc.)</t>
  </si>
  <si>
    <t>Total Einkünfte</t>
  </si>
  <si>
    <t>Feste Verpflichtungen</t>
  </si>
  <si>
    <t>Wohnkosten</t>
  </si>
  <si>
    <t>Versicherungen</t>
  </si>
  <si>
    <t>Energie (Elektrizität, Gas)</t>
  </si>
  <si>
    <t>Total Wohnkosten</t>
  </si>
  <si>
    <t>Krankenkasse, evtl. Unfallversicherung</t>
  </si>
  <si>
    <t>Steuern</t>
  </si>
  <si>
    <t>Motorfahrzeuge (inkl. Betriebskosten, Versicherung, Reparaturen etc.)</t>
  </si>
  <si>
    <t xml:space="preserve">Weitere feste Verpflichtungen </t>
  </si>
  <si>
    <t>Telefon, Handy</t>
  </si>
  <si>
    <t>Radio, Fernsehen, Internet</t>
  </si>
  <si>
    <t>Hausrat-, Privathaftpflichtversicherung</t>
  </si>
  <si>
    <t>Lebensversicherungen, Säule 3a</t>
  </si>
  <si>
    <t>Öffentlicher Verkehr (Abonnements)</t>
  </si>
  <si>
    <t>Total weitere feste Verpflichtungen</t>
  </si>
  <si>
    <t>Total feste Verpflichtungen</t>
  </si>
  <si>
    <t>Variable Kosten</t>
  </si>
  <si>
    <t>Haushaltskosten</t>
  </si>
  <si>
    <t>Nahrungsmittel, Getränke</t>
  </si>
  <si>
    <t>Haustier</t>
  </si>
  <si>
    <t>Sonstige Haushaltskosten</t>
  </si>
  <si>
    <t>Total Haushalt</t>
  </si>
  <si>
    <t>Persönliche Auslagen (Mann, Frau, evtl. Kinder)</t>
  </si>
  <si>
    <t>Kleider, Schuhe</t>
  </si>
  <si>
    <t>Freizeit, Taschengeld, Hobby, Ausgehen</t>
  </si>
  <si>
    <t>Total persönliche Auslagen</t>
  </si>
  <si>
    <t>Diverses</t>
  </si>
  <si>
    <t>Franchise, Selbstbehalt bei Krankenkasse</t>
  </si>
  <si>
    <t>Zahnarzt, Medikamente, Optiker</t>
  </si>
  <si>
    <t>Geschenke, Spenden</t>
  </si>
  <si>
    <t>Zeitschriften, Zeitungen, Mitgliedschaften</t>
  </si>
  <si>
    <t>Kreditraten</t>
  </si>
  <si>
    <t>Alimentenzahlungen</t>
  </si>
  <si>
    <t>Total Diverses</t>
  </si>
  <si>
    <t>Rückstellungen</t>
  </si>
  <si>
    <t>Ferien</t>
  </si>
  <si>
    <t>Anschaffungen</t>
  </si>
  <si>
    <t>Unvorhergesehenes</t>
  </si>
  <si>
    <t>Total Rückstellungen</t>
  </si>
  <si>
    <t>Total variable Kosten</t>
  </si>
  <si>
    <t>Zusammenzug</t>
  </si>
  <si>
    <t>Total Einnahmen</t>
  </si>
  <si>
    <t>– Total feste Verpflichtungen</t>
  </si>
  <si>
    <t>– Total variable Kosten</t>
  </si>
  <si>
    <t>Überschuss oder Fehlbetrag</t>
  </si>
  <si>
    <t>Monatlich</t>
  </si>
  <si>
    <t>Jährlich</t>
  </si>
  <si>
    <t>Diese Felder müssen vom Nutzer ausgefüllt werden</t>
  </si>
  <si>
    <r>
      <rPr>
        <b/>
        <i/>
        <sz val="16"/>
        <rFont val="Verdana"/>
        <family val="2"/>
      </rPr>
      <t>Wohnen in Mietwohnung:</t>
    </r>
    <r>
      <rPr>
        <sz val="16"/>
        <rFont val="Verdana"/>
        <family val="2"/>
      </rPr>
      <t xml:space="preserve"> Miete inkl. Nebenkosten</t>
    </r>
  </si>
  <si>
    <r>
      <rPr>
        <b/>
        <i/>
        <sz val="16"/>
        <rFont val="Verdana"/>
        <family val="2"/>
      </rPr>
      <t>Wohnen in Eigenheim:</t>
    </r>
    <r>
      <rPr>
        <sz val="16"/>
        <rFont val="Verdana"/>
        <family val="2"/>
      </rPr>
      <t xml:space="preserve"> Hypothekarzins, Amortisation, Unterhalt und Reparaturen, Heizung und Wasser,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</si>
</sst>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CHF&quot;;[Red]#,##0.00\ &quot;CHF&quot;"/>
  </numFmts>
  <fonts count="12" x14ac:knownFonts="1">
    <font>
      <sz val="12"/>
      <color theme="1"/>
      <name val="Calibri"/>
      <family val="2"/>
      <scheme val="minor"/>
    </font>
    <font>
      <sz val="10"/>
      <color theme="1"/>
      <name val="Verdan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Verdana"/>
      <family val="2"/>
    </font>
    <font>
      <sz val="16"/>
      <color theme="1"/>
      <name val="Verdana"/>
      <family val="2"/>
    </font>
    <font>
      <b/>
      <i/>
      <sz val="16"/>
      <color theme="1"/>
      <name val="Verdana"/>
      <family val="2"/>
    </font>
    <font>
      <sz val="16"/>
      <color theme="1"/>
      <name val="Calibri"/>
      <family val="2"/>
      <scheme val="minor"/>
    </font>
    <font>
      <b/>
      <i/>
      <sz val="16"/>
      <name val="Verdana"/>
      <family val="2"/>
    </font>
    <font>
      <sz val="16"/>
      <name val="Verdana"/>
      <family val="2"/>
    </font>
    <font>
      <sz val="16"/>
      <color rgb="FF000000"/>
      <name val="Verdana"/>
      <family val="2"/>
    </font>
    <font>
      <b/>
      <sz val="16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164" fontId="5" fillId="2" borderId="1" xfId="0" applyNumberFormat="1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164" fontId="4" fillId="0" borderId="1" xfId="0" applyNumberFormat="1" applyFont="1" applyBorder="1" applyAlignment="1">
      <alignment horizontal="right"/>
    </xf>
    <xf numFmtId="0" fontId="5" fillId="0" borderId="0" xfId="0" applyFont="1" applyAlignment="1">
      <alignment wrapText="1"/>
    </xf>
    <xf numFmtId="164" fontId="10" fillId="2" borderId="1" xfId="0" applyNumberFormat="1" applyFont="1" applyFill="1" applyBorder="1" applyAlignment="1">
      <alignment horizontal="right"/>
    </xf>
    <xf numFmtId="164" fontId="11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</cellXfs>
  <cellStyles count="5">
    <cellStyle name="Besuchter Hyperlink" xfId="4" builtinId="9" hidden="1"/>
    <cellStyle name="Besuchter Hyperlink" xfId="2" builtinId="9" hidden="1"/>
    <cellStyle name="Link" xfId="3" builtinId="8" hidden="1"/>
    <cellStyle name="Link" xfId="1" builtinId="8" hidden="1"/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84"/>
  <sheetViews>
    <sheetView tabSelected="1" workbookViewId="0">
      <selection activeCell="C90" sqref="C90"/>
    </sheetView>
  </sheetViews>
  <sheetFormatPr baseColWidth="10" defaultColWidth="10.875" defaultRowHeight="15.75" x14ac:dyDescent="0.25"/>
  <cols>
    <col min="1" max="1" width="52.625" customWidth="1"/>
    <col min="2" max="2" width="29" customWidth="1"/>
    <col min="3" max="3" width="25.25" customWidth="1"/>
  </cols>
  <sheetData>
    <row r="1" spans="1:14" ht="19.5" x14ac:dyDescent="0.25">
      <c r="A1" s="3" t="s">
        <v>0</v>
      </c>
      <c r="B1" s="4"/>
      <c r="C1" s="4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9.5" x14ac:dyDescent="0.25">
      <c r="A2" s="4"/>
      <c r="B2" s="4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9.5" x14ac:dyDescent="0.25">
      <c r="A3" s="4"/>
      <c r="B3" s="4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9.5" x14ac:dyDescent="0.25">
      <c r="A4" s="4"/>
      <c r="B4" s="5" t="s">
        <v>51</v>
      </c>
      <c r="C4" s="5" t="s">
        <v>52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9.5" x14ac:dyDescent="0.25">
      <c r="A5" s="6" t="s">
        <v>1</v>
      </c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" x14ac:dyDescent="0.35">
      <c r="A6" s="7"/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9.5" x14ac:dyDescent="0.25">
      <c r="A7" s="8" t="s">
        <v>2</v>
      </c>
      <c r="B7" s="9">
        <v>9261</v>
      </c>
      <c r="C7" s="10">
        <v>115452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9.5" x14ac:dyDescent="0.25">
      <c r="A8" s="8" t="s">
        <v>3</v>
      </c>
      <c r="B8" s="9">
        <v>66</v>
      </c>
      <c r="C8" s="10">
        <v>800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39" x14ac:dyDescent="0.25">
      <c r="A9" s="8" t="s">
        <v>4</v>
      </c>
      <c r="B9" s="9"/>
      <c r="C9" s="10">
        <f>12*B9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9.5" x14ac:dyDescent="0.25">
      <c r="A10" s="11" t="s">
        <v>5</v>
      </c>
      <c r="B10" s="12"/>
      <c r="C10" s="12">
        <f>SUM(C7:C9)</f>
        <v>116252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9.5" x14ac:dyDescent="0.25">
      <c r="A11" s="13"/>
      <c r="B11" s="5"/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9.5" x14ac:dyDescent="0.25">
      <c r="A12" s="6" t="s">
        <v>6</v>
      </c>
      <c r="B12" s="5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1" x14ac:dyDescent="0.35">
      <c r="A13" s="7"/>
      <c r="B13" s="5"/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9.5" x14ac:dyDescent="0.25">
      <c r="A14" s="11" t="s">
        <v>7</v>
      </c>
      <c r="B14" s="10"/>
      <c r="C14" s="1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39" x14ac:dyDescent="0.25">
      <c r="A15" s="8" t="s">
        <v>54</v>
      </c>
      <c r="B15" s="9"/>
      <c r="C15" s="10">
        <f>12*B15</f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78" x14ac:dyDescent="0.25">
      <c r="A16" s="8" t="s">
        <v>55</v>
      </c>
      <c r="B16" s="9">
        <v>1920</v>
      </c>
      <c r="C16" s="10">
        <f>12*B16</f>
        <v>23040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9.5" x14ac:dyDescent="0.25">
      <c r="A17" s="8" t="s">
        <v>8</v>
      </c>
      <c r="B17" s="9">
        <v>44</v>
      </c>
      <c r="C17" s="10">
        <f>12*B17</f>
        <v>528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9.5" x14ac:dyDescent="0.25">
      <c r="A18" s="8" t="s">
        <v>9</v>
      </c>
      <c r="B18" s="9">
        <v>250</v>
      </c>
      <c r="C18" s="10">
        <f>12*B18</f>
        <v>3000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9.5" x14ac:dyDescent="0.25">
      <c r="A19" s="11" t="s">
        <v>10</v>
      </c>
      <c r="B19" s="12">
        <f>SUM(B15:B18)</f>
        <v>2214</v>
      </c>
      <c r="C19" s="12">
        <f>SUM(C15:C18)</f>
        <v>26568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9.5" x14ac:dyDescent="0.25">
      <c r="A20" s="8"/>
      <c r="B20" s="10"/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39" x14ac:dyDescent="0.25">
      <c r="A21" s="8" t="s">
        <v>11</v>
      </c>
      <c r="B21" s="14">
        <v>1200</v>
      </c>
      <c r="C21" s="10">
        <f>12*B21</f>
        <v>14400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9.5" x14ac:dyDescent="0.25">
      <c r="A22" s="8"/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9.5" x14ac:dyDescent="0.25">
      <c r="A23" s="8" t="s">
        <v>12</v>
      </c>
      <c r="B23" s="14">
        <v>1400</v>
      </c>
      <c r="C23" s="10">
        <f>12*B23</f>
        <v>16800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9.5" x14ac:dyDescent="0.25">
      <c r="A24" s="8"/>
      <c r="B24" s="10"/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39" x14ac:dyDescent="0.25">
      <c r="A25" s="8" t="s">
        <v>13</v>
      </c>
      <c r="B25" s="14">
        <v>600</v>
      </c>
      <c r="C25" s="10">
        <f>12*B25</f>
        <v>7200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9.5" x14ac:dyDescent="0.25">
      <c r="A26" s="8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9.5" x14ac:dyDescent="0.25">
      <c r="A27" s="11" t="s">
        <v>14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9.5" x14ac:dyDescent="0.25">
      <c r="A28" s="8" t="s">
        <v>15</v>
      </c>
      <c r="B28" s="14">
        <v>100</v>
      </c>
      <c r="C28" s="10">
        <f>12*B28</f>
        <v>1200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9.5" x14ac:dyDescent="0.25">
      <c r="A29" s="8" t="s">
        <v>16</v>
      </c>
      <c r="B29" s="14">
        <v>100</v>
      </c>
      <c r="C29" s="10">
        <f>12*B29</f>
        <v>1200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39" x14ac:dyDescent="0.25">
      <c r="A30" s="8" t="s">
        <v>17</v>
      </c>
      <c r="B30" s="14">
        <v>110</v>
      </c>
      <c r="C30" s="10">
        <f>12*B30</f>
        <v>1320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9.5" x14ac:dyDescent="0.25">
      <c r="A31" s="8" t="s">
        <v>18</v>
      </c>
      <c r="B31" s="14">
        <v>0</v>
      </c>
      <c r="C31" s="10">
        <f>12*B31</f>
        <v>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9.5" x14ac:dyDescent="0.25">
      <c r="A32" s="8" t="s">
        <v>19</v>
      </c>
      <c r="B32" s="14">
        <v>50</v>
      </c>
      <c r="C32" s="10">
        <f>12*B32</f>
        <v>600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39" x14ac:dyDescent="0.25">
      <c r="A33" s="11" t="s">
        <v>20</v>
      </c>
      <c r="B33" s="15">
        <f>SUM(B28:B32)</f>
        <v>360</v>
      </c>
      <c r="C33" s="12">
        <f>SUM(C28:C32)</f>
        <v>4320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9.5" x14ac:dyDescent="0.25">
      <c r="A34" s="8"/>
      <c r="B34" s="10"/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9.5" x14ac:dyDescent="0.25">
      <c r="A35" s="11" t="s">
        <v>21</v>
      </c>
      <c r="B35" s="12">
        <f>B19+B21+B23+B25+B33</f>
        <v>5774</v>
      </c>
      <c r="C35" s="12">
        <f>C19+C21+C23+C25+C33</f>
        <v>69288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9.5" x14ac:dyDescent="0.25">
      <c r="A36" s="13"/>
      <c r="B36" s="16"/>
      <c r="C36" s="1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9.5" x14ac:dyDescent="0.25">
      <c r="A37" s="6" t="s">
        <v>22</v>
      </c>
      <c r="B37" s="16"/>
      <c r="C37" s="1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9.5" x14ac:dyDescent="0.25">
      <c r="A38" s="13"/>
      <c r="B38" s="16"/>
      <c r="C38" s="1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9.5" x14ac:dyDescent="0.25">
      <c r="A39" s="11" t="s">
        <v>23</v>
      </c>
      <c r="B39" s="10"/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9.5" x14ac:dyDescent="0.25">
      <c r="A40" s="8" t="s">
        <v>24</v>
      </c>
      <c r="B40" s="14">
        <v>1200</v>
      </c>
      <c r="C40" s="10">
        <f>12*B40</f>
        <v>14400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9.5" x14ac:dyDescent="0.25">
      <c r="A41" s="8" t="s">
        <v>25</v>
      </c>
      <c r="B41" s="14">
        <v>40</v>
      </c>
      <c r="C41" s="10">
        <f>12*B41</f>
        <v>480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9.5" x14ac:dyDescent="0.25">
      <c r="A42" s="8" t="s">
        <v>26</v>
      </c>
      <c r="B42" s="14">
        <v>400</v>
      </c>
      <c r="C42" s="10">
        <f>12*B42</f>
        <v>4800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9.5" x14ac:dyDescent="0.25">
      <c r="A43" s="11" t="s">
        <v>27</v>
      </c>
      <c r="B43" s="12">
        <f>SUM(B40:B42)</f>
        <v>1640</v>
      </c>
      <c r="C43" s="12">
        <f>SUM(C40:C42)</f>
        <v>19680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9.5" x14ac:dyDescent="0.25">
      <c r="A44" s="8"/>
      <c r="B44" s="10"/>
      <c r="C44" s="1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39" x14ac:dyDescent="0.25">
      <c r="A45" s="11" t="s">
        <v>28</v>
      </c>
      <c r="B45" s="10"/>
      <c r="C45" s="1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9.5" x14ac:dyDescent="0.25">
      <c r="A46" s="8" t="s">
        <v>29</v>
      </c>
      <c r="B46" s="14">
        <v>120</v>
      </c>
      <c r="C46" s="10">
        <f>12*B46</f>
        <v>1440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39" x14ac:dyDescent="0.25">
      <c r="A47" s="8" t="s">
        <v>30</v>
      </c>
      <c r="B47" s="14">
        <v>600</v>
      </c>
      <c r="C47" s="10">
        <f>12*B47</f>
        <v>7200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9.5" x14ac:dyDescent="0.25">
      <c r="A48" s="11" t="s">
        <v>31</v>
      </c>
      <c r="B48" s="12">
        <f>SUM(B46:B47)</f>
        <v>720</v>
      </c>
      <c r="C48" s="12">
        <f>SUM(C46:C47)</f>
        <v>8640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9.5" x14ac:dyDescent="0.25">
      <c r="A49" s="8"/>
      <c r="B49" s="10"/>
      <c r="C49" s="1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9.5" x14ac:dyDescent="0.25">
      <c r="A50" s="11" t="s">
        <v>32</v>
      </c>
      <c r="B50" s="10"/>
      <c r="C50" s="1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39" x14ac:dyDescent="0.25">
      <c r="A51" s="8" t="s">
        <v>33</v>
      </c>
      <c r="B51" s="14">
        <v>300</v>
      </c>
      <c r="C51" s="10">
        <f t="shared" ref="C51:C56" si="0">12*B51</f>
        <v>3600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9.5" x14ac:dyDescent="0.25">
      <c r="A52" s="8" t="s">
        <v>34</v>
      </c>
      <c r="B52" s="14">
        <v>150</v>
      </c>
      <c r="C52" s="10">
        <f t="shared" si="0"/>
        <v>1800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9.5" x14ac:dyDescent="0.25">
      <c r="A53" s="8" t="s">
        <v>35</v>
      </c>
      <c r="B53" s="14">
        <v>150</v>
      </c>
      <c r="C53" s="10">
        <f t="shared" si="0"/>
        <v>1800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39" x14ac:dyDescent="0.25">
      <c r="A54" s="8" t="s">
        <v>36</v>
      </c>
      <c r="B54" s="14">
        <v>20</v>
      </c>
      <c r="C54" s="10">
        <f t="shared" si="0"/>
        <v>240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9.5" x14ac:dyDescent="0.25">
      <c r="A55" s="8" t="s">
        <v>37</v>
      </c>
      <c r="B55" s="14"/>
      <c r="C55" s="10">
        <f t="shared" si="0"/>
        <v>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9.5" x14ac:dyDescent="0.25">
      <c r="A56" s="8" t="s">
        <v>38</v>
      </c>
      <c r="B56" s="14"/>
      <c r="C56" s="10">
        <f t="shared" si="0"/>
        <v>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9.5" x14ac:dyDescent="0.25">
      <c r="A57" s="11" t="s">
        <v>39</v>
      </c>
      <c r="B57" s="12">
        <f>SUM(B51:B56)</f>
        <v>620</v>
      </c>
      <c r="C57" s="12">
        <f>SUM(C51:C56)</f>
        <v>7440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9.5" x14ac:dyDescent="0.25">
      <c r="A58" s="8"/>
      <c r="B58" s="10"/>
      <c r="C58" s="1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9.5" x14ac:dyDescent="0.25">
      <c r="A59" s="11" t="s">
        <v>40</v>
      </c>
      <c r="B59" s="10"/>
      <c r="C59" s="1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9.5" x14ac:dyDescent="0.25">
      <c r="A60" s="8" t="s">
        <v>41</v>
      </c>
      <c r="B60" s="14">
        <v>600</v>
      </c>
      <c r="C60" s="10">
        <f>12*B60</f>
        <v>7200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9.5" x14ac:dyDescent="0.25">
      <c r="A61" s="8" t="s">
        <v>42</v>
      </c>
      <c r="B61" s="14">
        <v>300</v>
      </c>
      <c r="C61" s="10">
        <f>12*B61</f>
        <v>3600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9.5" x14ac:dyDescent="0.25">
      <c r="A62" s="8" t="s">
        <v>43</v>
      </c>
      <c r="B62" s="14">
        <v>100</v>
      </c>
      <c r="C62" s="10">
        <f>12*B62</f>
        <v>1200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9.5" x14ac:dyDescent="0.25">
      <c r="A63" s="11" t="s">
        <v>44</v>
      </c>
      <c r="B63" s="12">
        <f>SUM(B60:B62)</f>
        <v>1000</v>
      </c>
      <c r="C63" s="12">
        <f>SUM(C60:C62)</f>
        <v>12000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9.5" x14ac:dyDescent="0.25">
      <c r="A64" s="8"/>
      <c r="B64" s="10"/>
      <c r="C64" s="1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9.5" x14ac:dyDescent="0.25">
      <c r="A65" s="11" t="s">
        <v>45</v>
      </c>
      <c r="B65" s="12">
        <f>B43+B48+B57+B63</f>
        <v>3980</v>
      </c>
      <c r="C65" s="12">
        <f>C43+C48+C57+C63</f>
        <v>47760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9.5" x14ac:dyDescent="0.25">
      <c r="A66" s="13"/>
      <c r="B66" s="16"/>
      <c r="C66" s="1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9.5" x14ac:dyDescent="0.25">
      <c r="A67" s="6" t="s">
        <v>46</v>
      </c>
      <c r="B67" s="16"/>
      <c r="C67" s="1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9.5" x14ac:dyDescent="0.25">
      <c r="A68" s="13"/>
      <c r="B68" s="16"/>
      <c r="C68" s="1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9.5" x14ac:dyDescent="0.25">
      <c r="A69" s="8" t="s">
        <v>47</v>
      </c>
      <c r="B69" s="10">
        <f>B10</f>
        <v>0</v>
      </c>
      <c r="C69" s="10">
        <f>C10</f>
        <v>116252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9.5" x14ac:dyDescent="0.25">
      <c r="A70" s="8" t="s">
        <v>48</v>
      </c>
      <c r="B70" s="10">
        <f>B35</f>
        <v>5774</v>
      </c>
      <c r="C70" s="10">
        <f>C35</f>
        <v>69288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9.5" x14ac:dyDescent="0.25">
      <c r="A71" s="8" t="s">
        <v>49</v>
      </c>
      <c r="B71" s="10">
        <f>B65</f>
        <v>3980</v>
      </c>
      <c r="C71" s="10">
        <f>C65</f>
        <v>47760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9.5" x14ac:dyDescent="0.25">
      <c r="A72" s="11" t="s">
        <v>50</v>
      </c>
      <c r="B72" s="12">
        <f>B69-B70-B71</f>
        <v>-9754</v>
      </c>
      <c r="C72" s="12">
        <f>C69-C70-C71</f>
        <v>-796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9.5" x14ac:dyDescent="0.25">
      <c r="A73" s="4"/>
      <c r="B73" s="4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2"/>
      <c r="C79" s="1" t="s">
        <v>53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</sheetData>
  <pageMargins left="0.7" right="0.7" top="0.75" bottom="0.75" header="0.3" footer="0.3"/>
  <pageSetup paperSize="9" scale="64" fitToHeight="2" orientation="portrait" horizontalDpi="4294967292" verticalDpi="4294967292"/>
  <headerFooter>
    <oddFooter>&amp;L_x000D_&amp;1#&amp;"Aptos"&amp;8&amp;K000000 Classified as Internal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Ringier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Markus Frey</cp:lastModifiedBy>
  <cp:lastPrinted>2022-11-06T16:33:05Z</cp:lastPrinted>
  <dcterms:created xsi:type="dcterms:W3CDTF">2018-08-16T02:39:30Z</dcterms:created>
  <dcterms:modified xsi:type="dcterms:W3CDTF">2026-05-01T13:49:27Z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7eab6e-04c6-4822-9252-98ab9f25736b_Enabled">
    <vt:lpwstr>true</vt:lpwstr>
  </property>
  <property fmtid="{D5CDD505-2E9C-101B-9397-08002B2CF9AE}" pid="3" name="MSIP_Label_477eab6e-04c6-4822-9252-98ab9f25736b_SetDate">
    <vt:lpwstr>2026-05-01T13:48:42Z</vt:lpwstr>
  </property>
  <property fmtid="{D5CDD505-2E9C-101B-9397-08002B2CF9AE}" pid="4" name="MSIP_Label_477eab6e-04c6-4822-9252-98ab9f25736b_Method">
    <vt:lpwstr>Standard</vt:lpwstr>
  </property>
  <property fmtid="{D5CDD505-2E9C-101B-9397-08002B2CF9AE}" pid="5" name="MSIP_Label_477eab6e-04c6-4822-9252-98ab9f25736b_Name">
    <vt:lpwstr>477eab6e-04c6-4822-9252-98ab9f25736b</vt:lpwstr>
  </property>
  <property fmtid="{D5CDD505-2E9C-101B-9397-08002B2CF9AE}" pid="6" name="MSIP_Label_477eab6e-04c6-4822-9252-98ab9f25736b_SiteId">
    <vt:lpwstr>d2007bef-127d-4591-97ac-10d72fe28031</vt:lpwstr>
  </property>
  <property fmtid="{D5CDD505-2E9C-101B-9397-08002B2CF9AE}" pid="7" name="MSIP_Label_477eab6e-04c6-4822-9252-98ab9f25736b_ActionId">
    <vt:lpwstr>c7de0b38-f0cf-45c4-b31e-173699417268</vt:lpwstr>
  </property>
  <property fmtid="{D5CDD505-2E9C-101B-9397-08002B2CF9AE}" pid="8" name="MSIP_Label_477eab6e-04c6-4822-9252-98ab9f25736b_ContentBits">
    <vt:lpwstr>2</vt:lpwstr>
  </property>
  <property fmtid="{D5CDD505-2E9C-101B-9397-08002B2CF9AE}" pid="9" name="MSIP_Label_477eab6e-04c6-4822-9252-98ab9f25736b_Tag">
    <vt:lpwstr>10, 3, 0, 1</vt:lpwstr>
  </property>
</Properties>
</file>